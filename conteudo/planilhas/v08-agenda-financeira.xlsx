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b val="1"/>
      <color rgb="000E3B2E"/>
      <sz val="14"/>
    </font>
    <font>
      <i val="1"/>
      <color rgb="006E7C75"/>
      <sz val="9"/>
    </font>
    <font>
      <b val="1"/>
      <color rgb="000E3B2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1EA"/>
      </patternFill>
    </fill>
    <fill>
      <patternFill patternType="solid">
        <fgColor rgb="000E3B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6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V08 · Agenda financeira com saldo dia a dia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Saldo inicial</t>
        </is>
      </c>
      <c r="D4" s="4" t="n">
        <v>6000</v>
      </c>
    </row>
    <row r="6">
      <c r="A6" s="5" t="inlineStr">
        <is>
          <t>Dia</t>
        </is>
      </c>
      <c r="B6" s="5" t="inlineStr">
        <is>
          <t>Descrição</t>
        </is>
      </c>
      <c r="C6" s="5" t="inlineStr">
        <is>
          <t>Tipo</t>
        </is>
      </c>
      <c r="D6" s="5" t="inlineStr">
        <is>
          <t>Valor</t>
        </is>
      </c>
      <c r="E6" s="5" t="inlineStr">
        <is>
          <t>Saldo</t>
        </is>
      </c>
    </row>
    <row r="7">
      <c r="A7" s="6" t="n">
        <v>2</v>
      </c>
      <c r="B7" s="6" t="inlineStr">
        <is>
          <t>Aluguel</t>
        </is>
      </c>
      <c r="C7" s="6" t="inlineStr">
        <is>
          <t>A pagar</t>
        </is>
      </c>
      <c r="D7" s="7" t="n">
        <v>-4500</v>
      </c>
      <c r="E7" s="7">
        <f>$D$4+D7</f>
        <v/>
      </c>
    </row>
    <row r="8">
      <c r="A8" s="6" t="n">
        <v>5</v>
      </c>
      <c r="B8" s="6" t="inlineStr">
        <is>
          <t>Fornecedor Alfa</t>
        </is>
      </c>
      <c r="C8" s="6" t="inlineStr">
        <is>
          <t>A pagar</t>
        </is>
      </c>
      <c r="D8" s="7" t="n">
        <v>-6200</v>
      </c>
      <c r="E8" s="7">
        <f>E7+D8</f>
        <v/>
      </c>
    </row>
    <row r="9">
      <c r="A9" s="6" t="n">
        <v>8</v>
      </c>
      <c r="B9" s="6" t="inlineStr">
        <is>
          <t>Vendas no cartão</t>
        </is>
      </c>
      <c r="C9" s="6" t="inlineStr">
        <is>
          <t>A receber</t>
        </is>
      </c>
      <c r="D9" s="7" t="n">
        <v>7400</v>
      </c>
      <c r="E9" s="7">
        <f>E8+D9</f>
        <v/>
      </c>
    </row>
    <row r="10">
      <c r="A10" s="6" t="n">
        <v>10</v>
      </c>
      <c r="B10" s="6" t="inlineStr">
        <is>
          <t>Fornecedor Beta</t>
        </is>
      </c>
      <c r="C10" s="6" t="inlineStr">
        <is>
          <t>A pagar</t>
        </is>
      </c>
      <c r="D10" s="7" t="n">
        <v>-3900</v>
      </c>
      <c r="E10" s="7">
        <f>E9+D10</f>
        <v/>
      </c>
    </row>
    <row r="11">
      <c r="A11" s="6" t="n">
        <v>12</v>
      </c>
      <c r="B11" s="6" t="inlineStr">
        <is>
          <t>Cliente B</t>
        </is>
      </c>
      <c r="C11" s="6" t="inlineStr">
        <is>
          <t>A receber</t>
        </is>
      </c>
      <c r="D11" s="7" t="n">
        <v>8300</v>
      </c>
      <c r="E11" s="7">
        <f>E10+D11</f>
        <v/>
      </c>
    </row>
    <row r="12">
      <c r="A12" s="6" t="n">
        <v>15</v>
      </c>
      <c r="B12" s="6" t="inlineStr">
        <is>
          <t>Folha de pagamento</t>
        </is>
      </c>
      <c r="C12" s="6" t="inlineStr">
        <is>
          <t>A pagar</t>
        </is>
      </c>
      <c r="D12" s="7" t="n">
        <v>-9800</v>
      </c>
      <c r="E12" s="7">
        <f>E11+D12</f>
        <v/>
      </c>
    </row>
    <row r="13">
      <c r="A13" s="6" t="n">
        <v>18</v>
      </c>
      <c r="B13" s="6" t="inlineStr">
        <is>
          <t>Vendas</t>
        </is>
      </c>
      <c r="C13" s="6" t="inlineStr">
        <is>
          <t>A receber</t>
        </is>
      </c>
      <c r="D13" s="7" t="n">
        <v>6500</v>
      </c>
      <c r="E13" s="7">
        <f>E12+D13</f>
        <v/>
      </c>
    </row>
    <row r="14">
      <c r="A14" s="6" t="n">
        <v>20</v>
      </c>
      <c r="B14" s="6" t="inlineStr">
        <is>
          <t>Guia DAS</t>
        </is>
      </c>
      <c r="C14" s="6" t="inlineStr">
        <is>
          <t>A pagar</t>
        </is>
      </c>
      <c r="D14" s="7" t="n">
        <v>-2100</v>
      </c>
      <c r="E14" s="7">
        <f>E13+D14</f>
        <v/>
      </c>
    </row>
    <row r="15">
      <c r="A15" s="6" t="n">
        <v>26</v>
      </c>
      <c r="B15" s="6" t="inlineStr">
        <is>
          <t>Vendas</t>
        </is>
      </c>
      <c r="C15" s="6" t="inlineStr">
        <is>
          <t>A receber</t>
        </is>
      </c>
      <c r="D15" s="7" t="n">
        <v>5900</v>
      </c>
      <c r="E15" s="7">
        <f>E14+D15</f>
        <v/>
      </c>
    </row>
    <row r="17">
      <c r="B17" s="3" t="inlineStr">
        <is>
          <t>Saldo final do mês</t>
        </is>
      </c>
      <c r="E17" s="4">
        <f>E15</f>
        <v/>
      </c>
    </row>
    <row r="18">
      <c r="B18" s="3" t="inlineStr">
        <is>
          <t>Menor saldo do mês</t>
        </is>
      </c>
      <c r="E18" s="4">
        <f>MIN(E7:E15)</f>
        <v/>
      </c>
    </row>
    <row r="19">
      <c r="B19" s="3" t="inlineStr">
        <is>
          <t>Lançamentos com saldo negativo</t>
        </is>
      </c>
      <c r="E19">
        <f>COUNTIF(E7:E15,"&lt;0")</f>
        <v/>
      </c>
    </row>
    <row r="21">
      <c r="A21" s="2" t="inlineStr">
        <is>
          <t>Dica: mantenha as linhas em ordem de data. Para testar uma renegociação, mude o dia e reordene.</t>
        </is>
      </c>
    </row>
  </sheetData>
  <conditionalFormatting sqref="E7:E15">
    <cfRule type="cellIs" priority="1" operator="lessThan" dxfId="0">
      <formula>0</formula>
    </cfRule>
  </conditionalFormatting>
  <dataValidations count="1">
    <dataValidation sqref="C7:C200" showDropDown="0" showInputMessage="0" showErrorMessage="0" allowBlank="1" type="list">
      <formula1>"A pagar,A receber"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2026-10-26T11:34:01Z</dcterms:created>
  <dcterms:modified xmlns:dcterms="http://purl.org/dc/terms/" xmlns:xsi="http://www.w3.org/2001/XMLSchema-instance" xsi:type="dcterms:W3CDTF">2026-10-26T11:34:01Z</dcterms:modified>
</cp:coreProperties>
</file>