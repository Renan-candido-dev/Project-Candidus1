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;[Red]-&quot;R$&quot; #,##0.00"/>
  </numFmts>
  <fonts count="5">
    <font>
      <name val="Calibri"/>
      <family val="2"/>
      <color theme="1"/>
      <sz val="11"/>
      <scheme val="minor"/>
    </font>
    <font>
      <b val="1"/>
      <color rgb="000E3B2E"/>
      <sz val="14"/>
    </font>
    <font>
      <i val="1"/>
      <color rgb="006E7C75"/>
      <sz val="9"/>
    </font>
    <font>
      <b val="1"/>
      <color rgb="00FFFFFF"/>
    </font>
    <font>
      <b val="1"/>
      <color rgb="000E3B2E"/>
    </font>
  </fonts>
  <fills count="4">
    <fill>
      <patternFill/>
    </fill>
    <fill>
      <patternFill patternType="gray125"/>
    </fill>
    <fill>
      <patternFill patternType="solid">
        <fgColor rgb="000E3B2E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4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6DD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7" customWidth="1" min="3" max="3"/>
    <col width="24" customWidth="1" min="4" max="4"/>
    <col width="16" customWidth="1" min="5" max="5"/>
    <col width="14" customWidth="1" min="6" max="6"/>
    <col width="12" customWidth="1" min="7" max="7"/>
  </cols>
  <sheetData>
    <row r="1">
      <c r="A1" s="1" t="inlineStr">
        <is>
          <t>V15 · Conciliação bancária: registros × extrato</t>
        </is>
      </c>
    </row>
    <row r="2">
      <c r="A2" s="2" t="inlineStr">
        <is>
          <t>Dados fictícios, apenas para demonstração. Candidus Gestão Financeira.</t>
        </is>
      </c>
    </row>
    <row r="4">
      <c r="A4" s="3" t="inlineStr">
        <is>
          <t>Data</t>
        </is>
      </c>
      <c r="B4" s="3" t="inlineStr">
        <is>
          <t>Registro interno</t>
        </is>
      </c>
      <c r="C4" s="3" t="inlineStr">
        <is>
          <t>Valor registrado</t>
        </is>
      </c>
      <c r="D4" s="3" t="inlineStr">
        <is>
          <t>Lançamento no extrato</t>
        </is>
      </c>
      <c r="E4" s="3" t="inlineStr">
        <is>
          <t>Valor no banco</t>
        </is>
      </c>
      <c r="F4" s="3" t="inlineStr">
        <is>
          <t>Diferença</t>
        </is>
      </c>
      <c r="G4" s="3" t="inlineStr">
        <is>
          <t>Status</t>
        </is>
      </c>
    </row>
    <row r="5">
      <c r="A5" s="4" t="inlineStr">
        <is>
          <t>03/06</t>
        </is>
      </c>
      <c r="B5" s="4" t="inlineStr">
        <is>
          <t>Cliente A</t>
        </is>
      </c>
      <c r="C5" s="5" t="n">
        <v>4200</v>
      </c>
      <c r="D5" s="4" t="inlineStr">
        <is>
          <t>Pix Cliente A</t>
        </is>
      </c>
      <c r="E5" s="5" t="n">
        <v>4200</v>
      </c>
      <c r="F5" s="5">
        <f>E5-C5</f>
        <v/>
      </c>
      <c r="G5" s="4">
        <f>IF(ABS(F5)&lt;0.01,"Conferido","Investigar")</f>
        <v/>
      </c>
    </row>
    <row r="6">
      <c r="A6" s="4" t="inlineStr">
        <is>
          <t>05/06</t>
        </is>
      </c>
      <c r="B6" s="4" t="inlineStr">
        <is>
          <t>Fornecedor Alfa</t>
        </is>
      </c>
      <c r="C6" s="5" t="n">
        <v>-3480</v>
      </c>
      <c r="D6" s="4" t="inlineStr">
        <is>
          <t>Boleto Alfa</t>
        </is>
      </c>
      <c r="E6" s="5" t="n">
        <v>-3480</v>
      </c>
      <c r="F6" s="5">
        <f>E6-C6</f>
        <v/>
      </c>
      <c r="G6" s="4">
        <f>IF(ABS(F6)&lt;0.01,"Conferido","Investigar")</f>
        <v/>
      </c>
    </row>
    <row r="7">
      <c r="A7" s="4" t="inlineStr">
        <is>
          <t>08/06</t>
        </is>
      </c>
      <c r="B7" s="4" t="inlineStr">
        <is>
          <t>Aluguel</t>
        </is>
      </c>
      <c r="C7" s="5" t="n">
        <v>-4500</v>
      </c>
      <c r="D7" s="4" t="inlineStr">
        <is>
          <t>Aluguel</t>
        </is>
      </c>
      <c r="E7" s="5" t="n">
        <v>-4500</v>
      </c>
      <c r="F7" s="5">
        <f>E7-C7</f>
        <v/>
      </c>
      <c r="G7" s="4">
        <f>IF(ABS(F7)&lt;0.01,"Conferido","Investigar")</f>
        <v/>
      </c>
    </row>
    <row r="8">
      <c r="A8" s="4" t="inlineStr">
        <is>
          <t>12/06</t>
        </is>
      </c>
      <c r="B8" s="4" t="inlineStr">
        <is>
          <t>Cliente B</t>
        </is>
      </c>
      <c r="C8" s="5" t="n">
        <v>2750</v>
      </c>
      <c r="D8" s="4" t="inlineStr">
        <is>
          <t>Pix Cliente B</t>
        </is>
      </c>
      <c r="E8" s="5" t="n">
        <v>2600</v>
      </c>
      <c r="F8" s="5">
        <f>E8-C8</f>
        <v/>
      </c>
      <c r="G8" s="4">
        <f>IF(ABS(F8)&lt;0.01,"Conferido","Investigar")</f>
        <v/>
      </c>
    </row>
    <row r="9">
      <c r="A9" s="4" t="inlineStr">
        <is>
          <t>15/06</t>
        </is>
      </c>
      <c r="B9" s="4" t="inlineStr">
        <is>
          <t>Energia</t>
        </is>
      </c>
      <c r="C9" s="5" t="n">
        <v>-684</v>
      </c>
      <c r="D9" s="4" t="inlineStr">
        <is>
          <t>Energia</t>
        </is>
      </c>
      <c r="E9" s="5" t="n">
        <v>-684</v>
      </c>
      <c r="F9" s="5">
        <f>E9-C9</f>
        <v/>
      </c>
      <c r="G9" s="4">
        <f>IF(ABS(F9)&lt;0.01,"Conferido","Investigar")</f>
        <v/>
      </c>
    </row>
    <row r="11">
      <c r="D11" s="6" t="inlineStr">
        <is>
          <t>Diferença total</t>
        </is>
      </c>
      <c r="F11" s="7">
        <f>SUM(F5:F9)</f>
        <v/>
      </c>
    </row>
    <row r="12">
      <c r="D12" s="6" t="inlineStr">
        <is>
          <t>Itens a investigar</t>
        </is>
      </c>
      <c r="F12">
        <f>COUNTIF(G5:G9,"Investigar")</f>
        <v/>
      </c>
    </row>
    <row r="14">
      <c r="A14" s="2" t="inlineStr">
        <is>
          <t>Causas comuns de diferença: desconto não registrado, taxa ou tarifa, erro de digitação, pagamento parcial.</t>
        </is>
      </c>
    </row>
  </sheetData>
  <conditionalFormatting sqref="G5:G9">
    <cfRule type="cellIs" priority="1" operator="equal" dxfId="0">
      <formula>"Investigar"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2026-10-26T11:34:01Z</dcterms:created>
  <dcterms:modified xmlns:dcterms="http://purl.org/dc/terms/" xmlns:xsi="http://www.w3.org/2001/XMLSchema-instance" xsi:type="dcterms:W3CDTF">2026-10-26T11:34:01Z</dcterms:modified>
</cp:coreProperties>
</file>