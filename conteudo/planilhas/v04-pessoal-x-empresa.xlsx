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  <sheet xmlns:r="http://schemas.openxmlformats.org/officeDocument/2006/relationships" name="Catego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;[Red]-&quot;R$&quot; #,##0.00"/>
  </numFmts>
  <fonts count="6">
    <font>
      <name val="Calibri"/>
      <family val="2"/>
      <color theme="1"/>
      <sz val="11"/>
      <scheme val="minor"/>
    </font>
    <font>
      <b val="1"/>
      <color rgb="000E3B2E"/>
      <sz val="14"/>
    </font>
    <font>
      <i val="1"/>
      <color rgb="006E7C75"/>
      <sz val="9"/>
    </font>
    <font>
      <b val="1"/>
      <color rgb="00FFFFFF"/>
    </font>
    <font>
      <b val="1"/>
      <color rgb="000E3B2E"/>
    </font>
    <font>
      <b val="1"/>
    </font>
  </fonts>
  <fills count="4">
    <fill>
      <patternFill/>
    </fill>
    <fill>
      <patternFill patternType="gray125"/>
    </fill>
    <fill>
      <patternFill patternType="solid">
        <fgColor rgb="000E3B2E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3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6DD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6" customWidth="1" min="4" max="4"/>
  </cols>
  <sheetData>
    <row r="1">
      <c r="A1" s="1" t="inlineStr">
        <is>
          <t>V04 · Extrato da empresa (junho): pessoal × empresa</t>
        </is>
      </c>
    </row>
    <row r="2">
      <c r="A2" s="2" t="inlineStr">
        <is>
          <t>Dados fictícios, apenas para demonstração. Candidus Gestão Financeira.</t>
        </is>
      </c>
    </row>
    <row r="4">
      <c r="A4" s="3" t="inlineStr">
        <is>
          <t>Data</t>
        </is>
      </c>
      <c r="B4" s="3" t="inlineStr">
        <is>
          <t>Descrição</t>
        </is>
      </c>
      <c r="C4" s="3" t="inlineStr">
        <is>
          <t>Categoria</t>
        </is>
      </c>
      <c r="D4" s="3" t="inlineStr">
        <is>
          <t>Valor</t>
        </is>
      </c>
    </row>
    <row r="5">
      <c r="A5" s="4" t="inlineStr">
        <is>
          <t>01/06</t>
        </is>
      </c>
      <c r="B5" s="4" t="inlineStr">
        <is>
          <t>Vendas no cartão</t>
        </is>
      </c>
      <c r="C5" s="4" t="inlineStr">
        <is>
          <t>Receitas</t>
        </is>
      </c>
      <c r="D5" s="5" t="n">
        <v>12400</v>
      </c>
    </row>
    <row r="6">
      <c r="A6" s="4" t="inlineStr">
        <is>
          <t>03/06</t>
        </is>
      </c>
      <c r="B6" s="4" t="inlineStr">
        <is>
          <t>Fornecedor Alfa</t>
        </is>
      </c>
      <c r="C6" s="4" t="inlineStr">
        <is>
          <t>Fornecedores</t>
        </is>
      </c>
      <c r="D6" s="5" t="n">
        <v>-3480</v>
      </c>
    </row>
    <row r="7">
      <c r="A7" s="4" t="inlineStr">
        <is>
          <t>04/06</t>
        </is>
      </c>
      <c r="B7" s="4" t="inlineStr">
        <is>
          <t>Supermercado</t>
        </is>
      </c>
      <c r="C7" s="4" t="inlineStr">
        <is>
          <t>Gasto pessoal</t>
        </is>
      </c>
      <c r="D7" s="5" t="n">
        <v>-612</v>
      </c>
    </row>
    <row r="8">
      <c r="A8" s="4" t="inlineStr">
        <is>
          <t>05/06</t>
        </is>
      </c>
      <c r="B8" s="4" t="inlineStr">
        <is>
          <t>Aluguel da loja</t>
        </is>
      </c>
      <c r="C8" s="4" t="inlineStr">
        <is>
          <t>Despesas fixas</t>
        </is>
      </c>
      <c r="D8" s="5" t="n">
        <v>-4800</v>
      </c>
    </row>
    <row r="9">
      <c r="A9" s="4" t="inlineStr">
        <is>
          <t>08/06</t>
        </is>
      </c>
      <c r="B9" s="4" t="inlineStr">
        <is>
          <t>Pix de clientes</t>
        </is>
      </c>
      <c r="C9" s="4" t="inlineStr">
        <is>
          <t>Receitas</t>
        </is>
      </c>
      <c r="D9" s="5" t="n">
        <v>6900</v>
      </c>
    </row>
    <row r="10">
      <c r="A10" s="4" t="inlineStr">
        <is>
          <t>10/06</t>
        </is>
      </c>
      <c r="B10" s="4" t="inlineStr">
        <is>
          <t>Escola dos filhos</t>
        </is>
      </c>
      <c r="C10" s="4" t="inlineStr">
        <is>
          <t>Gasto pessoal</t>
        </is>
      </c>
      <c r="D10" s="5" t="n">
        <v>-1450</v>
      </c>
    </row>
    <row r="11">
      <c r="A11" s="4" t="inlineStr">
        <is>
          <t>12/06</t>
        </is>
      </c>
      <c r="B11" s="4" t="inlineStr">
        <is>
          <t>Folha de pagamento</t>
        </is>
      </c>
      <c r="C11" s="4" t="inlineStr">
        <is>
          <t>Folha</t>
        </is>
      </c>
      <c r="D11" s="5" t="n">
        <v>-7200</v>
      </c>
    </row>
    <row r="12">
      <c r="A12" s="4" t="inlineStr">
        <is>
          <t>15/06</t>
        </is>
      </c>
      <c r="B12" s="4" t="inlineStr">
        <is>
          <t>Streaming e apps</t>
        </is>
      </c>
      <c r="C12" s="4" t="inlineStr">
        <is>
          <t>Gasto pessoal</t>
        </is>
      </c>
      <c r="D12" s="5" t="n">
        <v>-89</v>
      </c>
    </row>
    <row r="13">
      <c r="A13" s="4" t="inlineStr">
        <is>
          <t>18/06</t>
        </is>
      </c>
      <c r="B13" s="4" t="inlineStr">
        <is>
          <t>Guia DAS</t>
        </is>
      </c>
      <c r="C13" s="4" t="inlineStr">
        <is>
          <t>Impostos</t>
        </is>
      </c>
      <c r="D13" s="5" t="n">
        <v>-1380</v>
      </c>
    </row>
    <row r="14">
      <c r="A14" s="4" t="inlineStr">
        <is>
          <t>22/06</t>
        </is>
      </c>
      <c r="B14" s="4" t="inlineStr">
        <is>
          <t>Viagem de férias</t>
        </is>
      </c>
      <c r="C14" s="4" t="inlineStr">
        <is>
          <t>Gasto pessoal</t>
        </is>
      </c>
      <c r="D14" s="5" t="n">
        <v>-2300</v>
      </c>
    </row>
    <row r="16">
      <c r="B16" s="6" t="inlineStr">
        <is>
          <t>Resultado do mês (extrato)</t>
        </is>
      </c>
      <c r="D16" s="7">
        <f>SUM(D5:D14)</f>
        <v/>
      </c>
    </row>
    <row r="17">
      <c r="B17" s="6" t="inlineStr">
        <is>
          <t>Gastos pessoais pagos pela empresa</t>
        </is>
      </c>
      <c r="D17" s="7">
        <f>SUMIF(C5:C14,"Gasto pessoal",D5:D14)</f>
        <v/>
      </c>
    </row>
    <row r="18">
      <c r="B18" s="6" t="inlineStr">
        <is>
          <t>Resultado da operação (sem pessoais)</t>
        </is>
      </c>
      <c r="D18" s="7">
        <f>D16-D17</f>
        <v/>
      </c>
    </row>
  </sheetData>
  <conditionalFormatting sqref="D5:D18">
    <cfRule type="cellIs" priority="1" operator="lessThan" dxfId="0">
      <formula>0</formula>
    </cfRule>
  </conditionalFormatting>
  <dataValidations count="1">
    <dataValidation sqref="C5:C200" showDropDown="0" showInputMessage="0" showErrorMessage="0" allowBlank="1" type="list">
      <formula1>=Categorias!$A$5:$A$10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Categorias (edite à vontade)</t>
        </is>
      </c>
    </row>
    <row r="2">
      <c r="A2" s="2" t="inlineStr">
        <is>
          <t>Dados fictícios, apenas para demonstração. Candidus Gestão Financeira.</t>
        </is>
      </c>
    </row>
    <row r="4">
      <c r="A4" s="3" t="inlineStr">
        <is>
          <t>Categoria</t>
        </is>
      </c>
      <c r="B4" s="3" t="inlineStr">
        <is>
          <t>Total no mês</t>
        </is>
      </c>
    </row>
    <row r="5">
      <c r="A5" s="4" t="inlineStr">
        <is>
          <t>Receitas</t>
        </is>
      </c>
      <c r="B5" s="5">
        <f>SUMIF(Extrato!C:C,A5,Extrato!D:D)</f>
        <v/>
      </c>
    </row>
    <row r="6">
      <c r="A6" s="4" t="inlineStr">
        <is>
          <t>Fornecedores</t>
        </is>
      </c>
      <c r="B6" s="5">
        <f>SUMIF(Extrato!C:C,A6,Extrato!D:D)</f>
        <v/>
      </c>
    </row>
    <row r="7">
      <c r="A7" s="4" t="inlineStr">
        <is>
          <t>Folha</t>
        </is>
      </c>
      <c r="B7" s="5">
        <f>SUMIF(Extrato!C:C,A7,Extrato!D:D)</f>
        <v/>
      </c>
    </row>
    <row r="8">
      <c r="A8" s="4" t="inlineStr">
        <is>
          <t>Despesas fixas</t>
        </is>
      </c>
      <c r="B8" s="5">
        <f>SUMIF(Extrato!C:C,A8,Extrato!D:D)</f>
        <v/>
      </c>
    </row>
    <row r="9">
      <c r="A9" s="4" t="inlineStr">
        <is>
          <t>Impostos</t>
        </is>
      </c>
      <c r="B9" s="5">
        <f>SUMIF(Extrato!C:C,A9,Extrato!D:D)</f>
        <v/>
      </c>
    </row>
    <row r="10">
      <c r="A10" s="4" t="inlineStr">
        <is>
          <t>Gasto pessoal</t>
        </is>
      </c>
      <c r="B10" s="5">
        <f>SUMIF(Extrato!C:C,A10,Extrato!D:D)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2026-10-26T11:34:01Z</dcterms:created>
  <dcterms:modified xmlns:dcterms="http://purl.org/dc/terms/" xmlns:xsi="http://www.w3.org/2001/XMLSchema-instance" xsi:type="dcterms:W3CDTF">2026-10-26T11:34:01Z</dcterms:modified>
</cp:coreProperties>
</file>