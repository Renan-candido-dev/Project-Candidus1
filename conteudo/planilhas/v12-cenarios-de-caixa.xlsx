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5">
    <font>
      <name val="Calibri"/>
      <family val="2"/>
      <color theme="1"/>
      <sz val="11"/>
      <scheme val="minor"/>
    </font>
    <font>
      <b val="1"/>
      <color rgb="000E3B2E"/>
      <sz val="14"/>
    </font>
    <font>
      <i val="1"/>
      <color rgb="006E7C75"/>
      <sz val="9"/>
    </font>
    <font>
      <b val="1"/>
      <color rgb="000E3B2E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4F1EA"/>
      </patternFill>
    </fill>
    <fill>
      <patternFill patternType="solid">
        <fgColor rgb="00FBF6E9"/>
      </patternFill>
    </fill>
    <fill>
      <patternFill patternType="solid">
        <fgColor rgb="000E3B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9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V12 · Projeção de caixa em dois cenários</t>
        </is>
      </c>
    </row>
    <row r="2">
      <c r="A2" s="2" t="inlineStr">
        <is>
          <t>Dados fictícios, apenas para demonstração. Candidus Gestão Financeira.</t>
        </is>
      </c>
    </row>
    <row r="4">
      <c r="A4" s="3" t="inlineStr">
        <is>
          <t>Saldo inicial</t>
        </is>
      </c>
      <c r="C4" s="4" t="n">
        <v>20000</v>
      </c>
    </row>
    <row r="5">
      <c r="A5" s="3" t="inlineStr">
        <is>
          <t>Compromissos fixos por mês</t>
        </is>
      </c>
      <c r="C5" s="4" t="n">
        <v>36000</v>
      </c>
    </row>
    <row r="6">
      <c r="A6" s="3" t="inlineStr">
        <is>
          <t>Queda nas vendas (cenário fraco)</t>
        </is>
      </c>
      <c r="C6" s="5" t="n">
        <v>0.25</v>
      </c>
    </row>
    <row r="8">
      <c r="A8" s="6" t="inlineStr">
        <is>
          <t>Mês</t>
        </is>
      </c>
      <c r="B8" s="6" t="inlineStr">
        <is>
          <t>Receita esperada</t>
        </is>
      </c>
      <c r="C8" s="6" t="inlineStr">
        <is>
          <t>Receita (cenário fraco)</t>
        </is>
      </c>
      <c r="D8" s="6" t="inlineStr">
        <is>
          <t>Compromissos</t>
        </is>
      </c>
      <c r="E8" s="6" t="inlineStr">
        <is>
          <t>Saldo esperado</t>
        </is>
      </c>
      <c r="F8" s="6" t="inlineStr">
        <is>
          <t>Saldo (cenário fraco)</t>
        </is>
      </c>
    </row>
    <row r="9">
      <c r="A9" s="7" t="inlineStr">
        <is>
          <t>Jul</t>
        </is>
      </c>
      <c r="B9" s="8" t="n">
        <v>40000</v>
      </c>
      <c r="C9" s="8">
        <f>B9*(1-$C$6)</f>
        <v/>
      </c>
      <c r="D9" s="8">
        <f>-$C$5</f>
        <v/>
      </c>
      <c r="E9" s="8">
        <f>$C$4+B9+D9</f>
        <v/>
      </c>
      <c r="F9" s="8">
        <f>$C$4+C9+D9</f>
        <v/>
      </c>
    </row>
    <row r="10">
      <c r="A10" s="7" t="inlineStr">
        <is>
          <t>Ago</t>
        </is>
      </c>
      <c r="B10" s="8" t="n">
        <v>38000</v>
      </c>
      <c r="C10" s="8">
        <f>B10*(1-$C$6)</f>
        <v/>
      </c>
      <c r="D10" s="8">
        <f>-$C$5</f>
        <v/>
      </c>
      <c r="E10" s="8">
        <f>E9+B10+D10</f>
        <v/>
      </c>
      <c r="F10" s="8">
        <f>F9+C10+D10</f>
        <v/>
      </c>
    </row>
    <row r="11">
      <c r="A11" s="7" t="inlineStr">
        <is>
          <t>Set</t>
        </is>
      </c>
      <c r="B11" s="8" t="n">
        <v>42000</v>
      </c>
      <c r="C11" s="8">
        <f>B11*(1-$C$6)</f>
        <v/>
      </c>
      <c r="D11" s="8">
        <f>-$C$5</f>
        <v/>
      </c>
      <c r="E11" s="8">
        <f>E10+B11+D11</f>
        <v/>
      </c>
      <c r="F11" s="8">
        <f>F10+C11+D11</f>
        <v/>
      </c>
    </row>
    <row r="12">
      <c r="A12" s="7" t="inlineStr">
        <is>
          <t>Out</t>
        </is>
      </c>
      <c r="B12" s="8" t="n">
        <v>45000</v>
      </c>
      <c r="C12" s="8">
        <f>B12*(1-$C$6)</f>
        <v/>
      </c>
      <c r="D12" s="8">
        <f>-$C$5</f>
        <v/>
      </c>
      <c r="E12" s="8">
        <f>E11+B12+D12</f>
        <v/>
      </c>
      <c r="F12" s="8">
        <f>F11+C12+D12</f>
        <v/>
      </c>
    </row>
    <row r="13">
      <c r="A13" s="7" t="inlineStr">
        <is>
          <t>Nov</t>
        </is>
      </c>
      <c r="B13" s="8" t="n">
        <v>48000</v>
      </c>
      <c r="C13" s="8">
        <f>B13*(1-$C$6)</f>
        <v/>
      </c>
      <c r="D13" s="8">
        <f>-$C$5</f>
        <v/>
      </c>
      <c r="E13" s="8">
        <f>E12+B13+D13</f>
        <v/>
      </c>
      <c r="F13" s="8">
        <f>F12+C13+D13</f>
        <v/>
      </c>
    </row>
    <row r="14">
      <c r="A14" s="7" t="inlineStr">
        <is>
          <t>Dez</t>
        </is>
      </c>
      <c r="B14" s="8" t="n">
        <v>55000</v>
      </c>
      <c r="C14" s="8">
        <f>B14*(1-$C$6)</f>
        <v/>
      </c>
      <c r="D14" s="8">
        <f>-$C$5</f>
        <v/>
      </c>
      <c r="E14" s="8">
        <f>E13+B14+D14</f>
        <v/>
      </c>
      <c r="F14" s="8">
        <f>F13+C14+D14</f>
        <v/>
      </c>
    </row>
    <row r="16">
      <c r="A16" s="3" t="inlineStr">
        <is>
          <t>Menor saldo no cenário fraco</t>
        </is>
      </c>
      <c r="F16" s="9">
        <f>MIN(F9:F14)</f>
        <v/>
      </c>
    </row>
    <row r="17">
      <c r="A17" s="3" t="inlineStr">
        <is>
          <t>Reserva para não ficar negativo</t>
        </is>
      </c>
      <c r="F17" s="9">
        <f>MAX(0,-F16)</f>
        <v/>
      </c>
    </row>
    <row r="19">
      <c r="A19" s="2" t="inlineStr">
        <is>
          <t>Altere as células amarelas (premissas) para testar outros cenários.</t>
        </is>
      </c>
    </row>
  </sheetData>
  <conditionalFormatting sqref="E9:F14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2026-10-26T11:34:01Z</dcterms:created>
  <dcterms:modified xmlns:dcterms="http://purl.org/dc/terms/" xmlns:xsi="http://www.w3.org/2001/XMLSchema-instance" xsi:type="dcterms:W3CDTF">2026-10-26T11:34:01Z</dcterms:modified>
</cp:coreProperties>
</file>