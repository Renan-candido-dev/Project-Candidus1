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  <sheet xmlns:r="http://schemas.openxmlformats.org/officeDocument/2006/relationships" name="Pendências" sheetId="2" state="visible" r:id="rId2"/>
    <sheet xmlns:r="http://schemas.openxmlformats.org/officeDocument/2006/relationships" name="Proje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;[Red]-&quot;R$&quot; 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0E3B2E"/>
      <sz val="14"/>
    </font>
    <font>
      <i val="1"/>
      <color rgb="006E7C75"/>
      <sz val="9"/>
    </font>
    <font>
      <b val="1"/>
      <color rgb="00FFFFFF"/>
    </font>
    <font>
      <b val="1"/>
      <color rgb="000E3B2E"/>
    </font>
  </fonts>
  <fills count="4">
    <fill>
      <patternFill/>
    </fill>
    <fill>
      <patternFill patternType="gray125"/>
    </fill>
    <fill>
      <patternFill patternType="solid">
        <fgColor rgb="000E3B2E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6DD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</cols>
  <sheetData>
    <row r="1">
      <c r="A1" s="1" t="inlineStr">
        <is>
          <t>V23 · Fechamento gerencial do mês (maio)</t>
        </is>
      </c>
    </row>
    <row r="2">
      <c r="A2" s="2" t="inlineStr">
        <is>
          <t>Dados fictícios, apenas para demonstração. Candidus Gestão Financeira.</t>
        </is>
      </c>
    </row>
    <row r="4">
      <c r="A4" s="3" t="inlineStr">
        <is>
          <t>Grupo</t>
        </is>
      </c>
      <c r="B4" s="3" t="inlineStr">
        <is>
          <t>Item</t>
        </is>
      </c>
      <c r="C4" s="3" t="inlineStr">
        <is>
          <t>Valor</t>
        </is>
      </c>
    </row>
    <row r="5">
      <c r="A5" s="4" t="inlineStr">
        <is>
          <t>Receitas</t>
        </is>
      </c>
      <c r="B5" s="4" t="inlineStr">
        <is>
          <t>Serviços prestados</t>
        </is>
      </c>
      <c r="C5" s="5" t="n">
        <v>48000</v>
      </c>
    </row>
    <row r="6">
      <c r="A6" s="4" t="inlineStr">
        <is>
          <t>Receitas</t>
        </is>
      </c>
      <c r="B6" s="4" t="inlineStr">
        <is>
          <t>Venda de produtos</t>
        </is>
      </c>
      <c r="C6" s="5" t="n">
        <v>12500</v>
      </c>
    </row>
    <row r="7">
      <c r="A7" s="4" t="inlineStr">
        <is>
          <t>Custos</t>
        </is>
      </c>
      <c r="B7" s="4" t="inlineStr">
        <is>
          <t>Insumos e materiais</t>
        </is>
      </c>
      <c r="C7" s="5" t="n">
        <v>-14800</v>
      </c>
    </row>
    <row r="8">
      <c r="A8" s="4" t="inlineStr">
        <is>
          <t>Pessoal</t>
        </is>
      </c>
      <c r="B8" s="4" t="inlineStr">
        <is>
          <t>Folha e encargos</t>
        </is>
      </c>
      <c r="C8" s="5" t="n">
        <v>-21300</v>
      </c>
    </row>
    <row r="9">
      <c r="A9" s="4" t="inlineStr">
        <is>
          <t>Despesas fixas</t>
        </is>
      </c>
      <c r="B9" s="4" t="inlineStr">
        <is>
          <t>Aluguel e condomínio</t>
        </is>
      </c>
      <c r="C9" s="5" t="n">
        <v>-7200</v>
      </c>
    </row>
    <row r="10">
      <c r="A10" s="4" t="inlineStr">
        <is>
          <t>Operacionais</t>
        </is>
      </c>
      <c r="B10" s="4" t="inlineStr">
        <is>
          <t>Sistemas, energia, internet</t>
        </is>
      </c>
      <c r="C10" s="5" t="n">
        <v>-3400</v>
      </c>
    </row>
    <row r="11">
      <c r="A11" s="4" t="inlineStr">
        <is>
          <t>Tributos</t>
        </is>
      </c>
      <c r="B11" s="4" t="inlineStr">
        <is>
          <t>Impostos sobre vendas</t>
        </is>
      </c>
      <c r="C11" s="5" t="n">
        <v>-5445</v>
      </c>
    </row>
    <row r="13">
      <c r="B13" s="6" t="inlineStr">
        <is>
          <t>Receitas do mês</t>
        </is>
      </c>
      <c r="C13" s="7">
        <f>SUMIF(A5:A11,"Receitas",C5:C11)</f>
        <v/>
      </c>
    </row>
    <row r="14">
      <c r="B14" s="6" t="inlineStr">
        <is>
          <t>Resultado do mês</t>
        </is>
      </c>
      <c r="C14" s="7">
        <f>SUM(C5:C11)</f>
        <v/>
      </c>
    </row>
    <row r="15">
      <c r="B15" s="6" t="inlineStr">
        <is>
          <t>Margem</t>
        </is>
      </c>
      <c r="C15" s="8">
        <f>IF(C13=0,0,C14/C13)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</cols>
  <sheetData>
    <row r="1">
      <c r="A1" s="1" t="inlineStr">
        <is>
          <t>Contas em aberto</t>
        </is>
      </c>
    </row>
    <row r="2">
      <c r="A2" s="2" t="inlineStr">
        <is>
          <t>Dados fictícios, apenas para demonstração. Candidus Gestão Financeira.</t>
        </is>
      </c>
    </row>
    <row r="4">
      <c r="A4" s="3" t="inlineStr">
        <is>
          <t>Vencimento</t>
        </is>
      </c>
      <c r="B4" s="3" t="inlineStr">
        <is>
          <t>Descrição</t>
        </is>
      </c>
      <c r="C4" s="3" t="inlineStr">
        <is>
          <t>Valor</t>
        </is>
      </c>
    </row>
    <row r="5">
      <c r="A5" s="4" t="inlineStr">
        <is>
          <t>05/06</t>
        </is>
      </c>
      <c r="B5" s="4" t="inlineStr">
        <is>
          <t>Cliente C</t>
        </is>
      </c>
      <c r="C5" s="5" t="n">
        <v>6800</v>
      </c>
    </row>
    <row r="6">
      <c r="A6" s="4" t="inlineStr">
        <is>
          <t>08/06</t>
        </is>
      </c>
      <c r="B6" s="4" t="inlineStr">
        <is>
          <t>Fornecedor Alfa</t>
        </is>
      </c>
      <c r="C6" s="5" t="n">
        <v>-4900</v>
      </c>
    </row>
    <row r="7">
      <c r="A7" s="4" t="inlineStr">
        <is>
          <t>20/06</t>
        </is>
      </c>
      <c r="B7" s="4" t="inlineStr">
        <is>
          <t>Impostos do mês</t>
        </is>
      </c>
      <c r="C7" s="5" t="n">
        <v>-5445</v>
      </c>
    </row>
    <row r="9">
      <c r="B9" s="6" t="inlineStr">
        <is>
          <t>Saldo das pendências</t>
        </is>
      </c>
      <c r="C9" s="7">
        <f>SUM(C5:C7)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Caixa projetado (90 dias)</t>
        </is>
      </c>
    </row>
    <row r="2">
      <c r="A2" s="2" t="inlineStr">
        <is>
          <t>Dados fictícios, apenas para demonstração. Candidus Gestão Financeira.</t>
        </is>
      </c>
    </row>
    <row r="4">
      <c r="A4" s="6" t="inlineStr">
        <is>
          <t>Saldo atual</t>
        </is>
      </c>
      <c r="C4" s="7" t="n">
        <v>24600</v>
      </c>
    </row>
    <row r="6">
      <c r="A6" s="3" t="inlineStr">
        <is>
          <t>Período</t>
        </is>
      </c>
      <c r="B6" s="3" t="inlineStr">
        <is>
          <t>Entradas previstas</t>
        </is>
      </c>
      <c r="C6" s="3" t="inlineStr">
        <is>
          <t>Saídas previstas</t>
        </is>
      </c>
      <c r="D6" s="3" t="inlineStr">
        <is>
          <t>Saldo projetado</t>
        </is>
      </c>
    </row>
    <row r="7">
      <c r="A7" s="4" t="inlineStr">
        <is>
          <t>30 dias</t>
        </is>
      </c>
      <c r="B7" s="5" t="n">
        <v>58000</v>
      </c>
      <c r="C7" s="5" t="n">
        <v>-56500</v>
      </c>
      <c r="D7" s="5">
        <f>$C$4+B7+C7</f>
        <v/>
      </c>
    </row>
    <row r="8">
      <c r="A8" s="4" t="inlineStr">
        <is>
          <t>60 dias</t>
        </is>
      </c>
      <c r="B8" s="5" t="n">
        <v>54000</v>
      </c>
      <c r="C8" s="5" t="n">
        <v>-57300</v>
      </c>
      <c r="D8" s="5">
        <f>D7+B8+C8</f>
        <v/>
      </c>
    </row>
    <row r="9">
      <c r="A9" s="4" t="inlineStr">
        <is>
          <t>90 dias</t>
        </is>
      </c>
      <c r="B9" s="5" t="n">
        <v>63000</v>
      </c>
      <c r="C9" s="5" t="n">
        <v>-56400</v>
      </c>
      <c r="D9" s="5">
        <f>D8+B9+C9</f>
        <v/>
      </c>
    </row>
  </sheetData>
  <conditionalFormatting sqref="D7:D9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2026-10-26T11:34:01Z</dcterms:created>
  <dcterms:modified xmlns:dcterms="http://purl.org/dc/terms/" xmlns:xsi="http://www.w3.org/2001/XMLSchema-instance" xsi:type="dcterms:W3CDTF">2026-10-26T11:34:01Z</dcterms:modified>
</cp:coreProperties>
</file>